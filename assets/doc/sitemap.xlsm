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20" windowWidth="14805" windowHeight="7995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17" i="1"/>
  <c r="F18" i="1"/>
  <c r="F19" i="1"/>
  <c r="F7" i="1"/>
  <c r="E11" i="1"/>
  <c r="E17" i="1"/>
  <c r="E18" i="1"/>
  <c r="E13" i="1"/>
  <c r="E15" i="1"/>
  <c r="E12" i="1"/>
  <c r="E19" i="1"/>
  <c r="E16" i="1"/>
  <c r="E10" i="1"/>
  <c r="E8" i="1"/>
  <c r="E9" i="1"/>
  <c r="E14" i="1"/>
  <c r="M8" i="1" l="1"/>
  <c r="M16" i="1"/>
  <c r="M14" i="1"/>
  <c r="M19" i="1"/>
  <c r="M18" i="1"/>
  <c r="M15" i="1"/>
  <c r="M17" i="1"/>
  <c r="G16" i="1"/>
  <c r="H16" i="1" s="1"/>
  <c r="G14" i="1"/>
  <c r="H14" i="1" s="1"/>
  <c r="G19" i="1"/>
  <c r="G18" i="1"/>
  <c r="H18" i="1" s="1"/>
  <c r="G15" i="1"/>
  <c r="H15" i="1" s="1"/>
  <c r="G17" i="1"/>
  <c r="H17" i="1" s="1"/>
  <c r="H8" i="1"/>
  <c r="J8" i="1"/>
  <c r="L8" i="1"/>
  <c r="L9" i="1"/>
  <c r="L10" i="1"/>
  <c r="L11" i="1"/>
  <c r="L12" i="1"/>
  <c r="L13" i="1"/>
  <c r="L14" i="1"/>
  <c r="L15" i="1"/>
  <c r="L16" i="1"/>
  <c r="L17" i="1"/>
  <c r="L18" i="1"/>
  <c r="L7" i="1"/>
  <c r="J18" i="1"/>
  <c r="J17" i="1"/>
  <c r="J16" i="1"/>
  <c r="J15" i="1"/>
  <c r="J14" i="1"/>
  <c r="J13" i="1"/>
  <c r="J12" i="1"/>
  <c r="J11" i="1"/>
  <c r="J10" i="1"/>
  <c r="J9" i="1"/>
  <c r="J7" i="1"/>
  <c r="H7" i="1"/>
  <c r="M12" i="1"/>
  <c r="M10" i="1"/>
  <c r="G9" i="1"/>
  <c r="M9" i="1"/>
  <c r="G12" i="1"/>
  <c r="G11" i="1"/>
  <c r="M11" i="1"/>
  <c r="G10" i="1"/>
  <c r="M13" i="1"/>
  <c r="G13" i="1"/>
  <c r="E7" i="1"/>
  <c r="H13" i="1" l="1"/>
  <c r="H12" i="1"/>
  <c r="H11" i="1"/>
  <c r="H10" i="1"/>
  <c r="H9" i="1"/>
  <c r="M7" i="1"/>
</calcChain>
</file>

<file path=xl/sharedStrings.xml><?xml version="1.0" encoding="utf-8"?>
<sst xmlns="http://schemas.openxmlformats.org/spreadsheetml/2006/main" count="60" uniqueCount="50">
  <si>
    <t>サンプルサイト</t>
    <phoneticPr fontId="1"/>
  </si>
  <si>
    <t>タイトル共通文字列</t>
    <rPh sb="4" eb="6">
      <t>キョウツウ</t>
    </rPh>
    <rPh sb="6" eb="9">
      <t>モジレツ</t>
    </rPh>
    <phoneticPr fontId="1"/>
  </si>
  <si>
    <t xml:space="preserve"> | サンプルサイト</t>
    <phoneticPr fontId="1"/>
  </si>
  <si>
    <t>ページタイトル（全体）</t>
  </si>
  <si>
    <t>キーワード（SEO）</t>
  </si>
  <si>
    <t>○○○Webサイト サイトマップ</t>
    <phoneticPr fontId="1"/>
  </si>
  <si>
    <t>サンプルページ</t>
    <phoneticPr fontId="1"/>
  </si>
  <si>
    <t>備考</t>
    <rPh sb="0" eb="2">
      <t>ビコウ</t>
    </rPh>
    <phoneticPr fontId="1"/>
  </si>
  <si>
    <t>URL（og:url, cannonical）</t>
    <phoneticPr fontId="1"/>
  </si>
  <si>
    <t>ディスクリプション（検索サイト、og:description）</t>
    <phoneticPr fontId="1"/>
  </si>
  <si>
    <t>サムネイル（og:image）</t>
    <phoneticPr fontId="1"/>
  </si>
  <si>
    <t>サイトルートURL</t>
    <phoneticPr fontId="1"/>
  </si>
  <si>
    <t>サンプルページ1</t>
    <phoneticPr fontId="1"/>
  </si>
  <si>
    <t>サンプルページ2</t>
    <phoneticPr fontId="1"/>
  </si>
  <si>
    <t>カテゴリー</t>
    <phoneticPr fontId="1"/>
  </si>
  <si>
    <t>サンプルサブカテゴリー</t>
    <phoneticPr fontId="1"/>
  </si>
  <si>
    <t>ページタイトル</t>
    <phoneticPr fontId="1"/>
  </si>
  <si>
    <t>Path</t>
  </si>
  <si>
    <t>ディレクトリ名</t>
    <rPh sb="6" eb="7">
      <t>メイ</t>
    </rPh>
    <phoneticPr fontId="1"/>
  </si>
  <si>
    <t>ファイル名</t>
    <rPh sb="4" eb="5">
      <t>メイ</t>
    </rPh>
    <phoneticPr fontId="1"/>
  </si>
  <si>
    <t>index.html</t>
    <phoneticPr fontId="1"/>
  </si>
  <si>
    <t>sample.html</t>
    <phoneticPr fontId="1"/>
  </si>
  <si>
    <t>index.html</t>
    <phoneticPr fontId="1"/>
  </si>
  <si>
    <t>sample_1.html</t>
    <phoneticPr fontId="1"/>
  </si>
  <si>
    <t>sample_2.html</t>
    <phoneticPr fontId="1"/>
  </si>
  <si>
    <t>サンプルカテゴリー1</t>
    <phoneticPr fontId="1"/>
  </si>
  <si>
    <t>サンプルサイト （+PR＆SEO向けメッセージ）</t>
    <rPh sb="16" eb="17">
      <t>ム</t>
    </rPh>
    <phoneticPr fontId="1"/>
  </si>
  <si>
    <t>/sample_dir_1</t>
    <phoneticPr fontId="1"/>
  </si>
  <si>
    <t>/sample_subdir</t>
    <phoneticPr fontId="1"/>
  </si>
  <si>
    <t>http://example.com</t>
    <phoneticPr fontId="1"/>
  </si>
  <si>
    <t>文字数</t>
    <rPh sb="0" eb="3">
      <t>モジスウ</t>
    </rPh>
    <phoneticPr fontId="1"/>
  </si>
  <si>
    <t>サンプルサイトのトップページ</t>
    <phoneticPr fontId="1"/>
  </si>
  <si>
    <t>サンプルサイトのカテゴリー1</t>
    <phoneticPr fontId="1"/>
  </si>
  <si>
    <t>サンプルサイトのカテゴリー1のサンプルページ</t>
    <phoneticPr fontId="1"/>
  </si>
  <si>
    <t>サンプルサイトのカテゴリー1のサブカテゴリー</t>
    <phoneticPr fontId="1"/>
  </si>
  <si>
    <t>サンプルサイトのカテゴリー1のサブカテゴリーのサンプルページ1</t>
    <phoneticPr fontId="1"/>
  </si>
  <si>
    <t>サンプルサイトのカテゴリー1のサブカテゴリーのサンプルページ2</t>
    <phoneticPr fontId="1"/>
  </si>
  <si>
    <t>サンプルサイト</t>
  </si>
  <si>
    <t>サンプルサイト,カテゴリー1</t>
  </si>
  <si>
    <t>サンプルサイト,カテゴリー1,サンプルページ</t>
  </si>
  <si>
    <t>サンプルサイト,カテゴリー1,サブカテゴリー</t>
  </si>
  <si>
    <t>サンプルサイト,カテゴリー1,サブカテゴリー,サンプルページ1</t>
  </si>
  <si>
    <t>http://example.com/img/thumbnail_for_sns.png</t>
  </si>
  <si>
    <t>http://example.com/img/thumbnail_for_sns.png</t>
    <phoneticPr fontId="1"/>
  </si>
  <si>
    <t>サンプルサイト,カテゴリー1,サブカテゴリー,サンプルページ2,キーワード,数,が,多すぎる,場合,の,テスト</t>
    <phoneticPr fontId="1"/>
  </si>
  <si>
    <t>ページタイトル（単体）</t>
    <rPh sb="8" eb="10">
      <t>タンタイ</t>
    </rPh>
    <phoneticPr fontId="1"/>
  </si>
  <si>
    <t>テンプレート</t>
    <phoneticPr fontId="1"/>
  </si>
  <si>
    <t>base</t>
    <phoneticPr fontId="1"/>
  </si>
  <si>
    <t>contents_page</t>
  </si>
  <si>
    <t>contents_page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</si>
</sst>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4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/>
      <top style="medium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2" xfId="0" applyBorder="1"/>
    <xf numFmtId="0" fontId="0" fillId="2" borderId="7" xfId="0" applyFill="1" applyBorder="1" applyAlignment="1">
      <alignment horizontal="left" indent="1"/>
    </xf>
    <xf numFmtId="0" fontId="2" fillId="2" borderId="0" xfId="0" applyFont="1" applyFill="1" applyAlignment="1"/>
    <xf numFmtId="0" fontId="0" fillId="2" borderId="0" xfId="0" applyFill="1" applyAlignment="1"/>
    <xf numFmtId="0" fontId="3" fillId="3" borderId="3" xfId="0" applyFont="1" applyFill="1" applyBorder="1" applyAlignment="1"/>
    <xf numFmtId="0" fontId="0" fillId="2" borderId="2" xfId="0" applyFill="1" applyBorder="1" applyAlignment="1"/>
    <xf numFmtId="0" fontId="3" fillId="3" borderId="4" xfId="0" applyFont="1" applyFill="1" applyBorder="1" applyAlignment="1"/>
    <xf numFmtId="0" fontId="3" fillId="3" borderId="5" xfId="0" applyFont="1" applyFill="1" applyBorder="1" applyAlignment="1"/>
    <xf numFmtId="0" fontId="3" fillId="3" borderId="6" xfId="0" applyFont="1" applyFill="1" applyBorder="1" applyAlignment="1"/>
    <xf numFmtId="0" fontId="0" fillId="2" borderId="7" xfId="0" applyFill="1" applyBorder="1" applyAlignment="1"/>
    <xf numFmtId="0" fontId="0" fillId="2" borderId="1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2" borderId="10" xfId="0" applyFill="1" applyBorder="1" applyAlignment="1"/>
    <xf numFmtId="0" fontId="0" fillId="2" borderId="11" xfId="0" applyFill="1" applyBorder="1" applyAlignment="1"/>
    <xf numFmtId="0" fontId="4" fillId="3" borderId="5" xfId="0" applyFont="1" applyFill="1" applyBorder="1" applyAlignment="1"/>
    <xf numFmtId="0" fontId="0" fillId="2" borderId="12" xfId="0" applyFill="1" applyBorder="1" applyAlignment="1"/>
    <xf numFmtId="0" fontId="0" fillId="2" borderId="13" xfId="0" applyFill="1" applyBorder="1" applyAlignment="1"/>
    <xf numFmtId="0" fontId="0" fillId="2" borderId="14" xfId="0" applyFill="1" applyBorder="1" applyAlignment="1"/>
    <xf numFmtId="0" fontId="2" fillId="2" borderId="0" xfId="0" applyFont="1" applyFill="1" applyAlignment="1"/>
    <xf numFmtId="0" fontId="0" fillId="0" borderId="13" xfId="0" applyBorder="1"/>
    <xf numFmtId="0" fontId="0" fillId="2" borderId="1" xfId="0" applyFill="1" applyBorder="1" applyAlignment="1">
      <alignment horizontal="left" indent="1"/>
    </xf>
    <xf numFmtId="0" fontId="2" fillId="2" borderId="0" xfId="0" applyFont="1" applyFill="1" applyAlignment="1"/>
    <xf numFmtId="0" fontId="3" fillId="3" borderId="15" xfId="0" applyFont="1" applyFill="1" applyBorder="1" applyAlignment="1"/>
    <xf numFmtId="0" fontId="0" fillId="0" borderId="16" xfId="0" applyBorder="1"/>
    <xf numFmtId="0" fontId="0" fillId="2" borderId="17" xfId="0" applyFill="1" applyBorder="1" applyAlignment="1"/>
    <xf numFmtId="0" fontId="0" fillId="2" borderId="18" xfId="0" applyFill="1" applyBorder="1" applyAlignment="1"/>
  </cellXfs>
  <cellStyles count="1">
    <cellStyle name="標準" xfId="0" builtinId="0"/>
  </cellStyles>
  <dxfs count="4">
    <dxf>
      <font>
        <b/>
        <i val="0"/>
        <color rgb="FFC00000"/>
      </font>
      <fill>
        <patternFill>
          <bgColor rgb="FFFF9999"/>
        </patternFill>
      </fill>
    </dxf>
    <dxf>
      <fill>
        <patternFill>
          <bgColor theme="0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</dxfs>
  <tableStyles count="0" defaultTableStyle="TableStyleMedium2" defaultPivotStyle="PivotStyleMedium9"/>
  <colors>
    <mruColors>
      <color rgb="FFFF9999"/>
      <color rgb="FFFFCCCC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19"/>
  <sheetViews>
    <sheetView tabSelected="1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sqref="A1:C1"/>
    </sheetView>
  </sheetViews>
  <sheetFormatPr defaultRowHeight="13.5" x14ac:dyDescent="0.15"/>
  <cols>
    <col min="1" max="2" width="26.25" style="4" customWidth="1"/>
    <col min="3" max="4" width="18.75" style="4" customWidth="1"/>
    <col min="5" max="5" width="37" style="4" hidden="1" customWidth="1"/>
    <col min="6" max="6" width="21" style="4" hidden="1" customWidth="1"/>
    <col min="7" max="7" width="71.125" style="4" bestFit="1" customWidth="1"/>
    <col min="8" max="8" width="6" style="4" bestFit="1" customWidth="1"/>
    <col min="9" max="9" width="71.125" style="4" bestFit="1" customWidth="1"/>
    <col min="10" max="10" width="6" style="4" bestFit="1" customWidth="1"/>
    <col min="11" max="11" width="51.375" style="4" bestFit="1" customWidth="1"/>
    <col min="12" max="12" width="6" style="4" bestFit="1" customWidth="1"/>
    <col min="13" max="13" width="55.5" style="4" bestFit="1" customWidth="1"/>
    <col min="14" max="14" width="55.5" style="4" customWidth="1"/>
    <col min="15" max="15" width="20.625" style="4" customWidth="1"/>
    <col min="16" max="16" width="52.5" style="4" customWidth="1"/>
    <col min="17" max="17" width="47.5" style="4" customWidth="1"/>
    <col min="18" max="16384" width="9" style="4"/>
  </cols>
  <sheetData>
    <row r="1" spans="1:16" ht="28.5" x14ac:dyDescent="0.3">
      <c r="A1" s="23" t="s">
        <v>5</v>
      </c>
      <c r="B1" s="23"/>
      <c r="C1" s="23"/>
      <c r="D1" s="3"/>
      <c r="E1" s="3"/>
      <c r="F1" s="20"/>
      <c r="G1" s="3"/>
    </row>
    <row r="2" spans="1:16" ht="14.25" thickBot="1" x14ac:dyDescent="0.2"/>
    <row r="3" spans="1:16" ht="14.25" thickBot="1" x14ac:dyDescent="0.2">
      <c r="G3" s="5" t="s">
        <v>1</v>
      </c>
      <c r="M3" s="5" t="s">
        <v>11</v>
      </c>
    </row>
    <row r="4" spans="1:16" ht="15" thickTop="1" thickBot="1" x14ac:dyDescent="0.2">
      <c r="G4" s="6" t="s">
        <v>2</v>
      </c>
      <c r="M4" s="1" t="s">
        <v>29</v>
      </c>
    </row>
    <row r="5" spans="1:16" ht="14.25" thickBot="1" x14ac:dyDescent="0.2"/>
    <row r="6" spans="1:16" ht="14.25" thickBot="1" x14ac:dyDescent="0.2">
      <c r="A6" s="7" t="s">
        <v>14</v>
      </c>
      <c r="B6" s="8" t="s">
        <v>16</v>
      </c>
      <c r="C6" s="8" t="s">
        <v>18</v>
      </c>
      <c r="D6" s="8" t="s">
        <v>19</v>
      </c>
      <c r="E6" s="8" t="s">
        <v>17</v>
      </c>
      <c r="F6" s="8" t="s">
        <v>45</v>
      </c>
      <c r="G6" s="8" t="s">
        <v>3</v>
      </c>
      <c r="H6" s="16" t="s">
        <v>30</v>
      </c>
      <c r="I6" s="8" t="s">
        <v>9</v>
      </c>
      <c r="J6" s="16" t="s">
        <v>30</v>
      </c>
      <c r="K6" s="8" t="s">
        <v>4</v>
      </c>
      <c r="L6" s="16" t="s">
        <v>30</v>
      </c>
      <c r="M6" s="8" t="s">
        <v>8</v>
      </c>
      <c r="N6" s="8" t="s">
        <v>10</v>
      </c>
      <c r="O6" s="24" t="s">
        <v>46</v>
      </c>
      <c r="P6" s="9" t="s">
        <v>7</v>
      </c>
    </row>
    <row r="7" spans="1:16" ht="14.25" thickTop="1" x14ac:dyDescent="0.15">
      <c r="A7" s="17"/>
      <c r="B7" s="18" t="s">
        <v>0</v>
      </c>
      <c r="C7" s="18"/>
      <c r="D7" s="18" t="s">
        <v>20</v>
      </c>
      <c r="E7" s="18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/index.html</v>
      </c>
      <c r="F7" s="18" t="str">
        <f>A7 &amp; B7</f>
        <v>サンプルサイト</v>
      </c>
      <c r="G7" s="18" t="s">
        <v>26</v>
      </c>
      <c r="H7" s="18">
        <f>IF( G7&lt;&gt;"", LEN(G7), "" )</f>
        <v>24</v>
      </c>
      <c r="I7" s="18" t="s">
        <v>31</v>
      </c>
      <c r="J7" s="18">
        <f>IF( I7&lt;&gt;"", LEN(I7), "" )</f>
        <v>14</v>
      </c>
      <c r="K7" s="18" t="s">
        <v>37</v>
      </c>
      <c r="L7" s="18">
        <f>IF(
    K7 &lt;&gt; "",
  LEN( K7 ) - LEN( SUBSTITUTE( K7, ",", "" ) ) + 1,
    ""
)</f>
        <v>1</v>
      </c>
      <c r="M7" s="18" t="str">
        <f t="shared" ref="M7:M8" ca="1" si="0">IF(
    E7 &lt;&gt; "",
    INDIRECT( ADDRESS( 4, COLUMN() ) ) &amp; SUBSTITUTE( E7, "index.html", "" ),
    ""
)</f>
        <v>http://example.com/</v>
      </c>
      <c r="N7" s="21" t="s">
        <v>43</v>
      </c>
      <c r="O7" s="25" t="s">
        <v>47</v>
      </c>
      <c r="P7" s="19"/>
    </row>
    <row r="8" spans="1:16" x14ac:dyDescent="0.15">
      <c r="A8" s="10"/>
      <c r="B8" s="11"/>
      <c r="C8" s="11"/>
      <c r="D8" s="11"/>
      <c r="E8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8" s="11" t="str">
        <f t="shared" ref="F8:F19" si="1">A8 &amp; B8</f>
        <v/>
      </c>
      <c r="G8" s="11"/>
      <c r="H8" s="11" t="str">
        <f>IF( G8&lt;&gt;"", LEN(G8), "" )</f>
        <v/>
      </c>
      <c r="I8" s="11"/>
      <c r="J8" s="11" t="str">
        <f>IF( I8&lt;&gt;"", LEN(I8), "" )</f>
        <v/>
      </c>
      <c r="K8" s="11"/>
      <c r="L8" s="11" t="str">
        <f t="shared" ref="L8:L18" si="2">IF(
    K8 &lt;&gt; "",
  LEN( K8 ) - LEN( SUBSTITUTE( K8, ",", "" ) ) + 1,
    ""
)</f>
        <v/>
      </c>
      <c r="M8" s="11" t="str">
        <f t="shared" ca="1" si="0"/>
        <v/>
      </c>
      <c r="N8" s="11"/>
      <c r="O8" s="26"/>
      <c r="P8" s="12"/>
    </row>
    <row r="9" spans="1:16" x14ac:dyDescent="0.15">
      <c r="A9" s="10" t="s">
        <v>25</v>
      </c>
      <c r="B9" s="11"/>
      <c r="C9" s="11" t="s">
        <v>27</v>
      </c>
      <c r="D9" s="11" t="s">
        <v>20</v>
      </c>
      <c r="E9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/sample_dir_1/index.html</v>
      </c>
      <c r="F9" s="11" t="str">
        <f t="shared" si="1"/>
        <v>サンプルカテゴリー1</v>
      </c>
      <c r="G9" s="11" t="str">
        <f ca="1">IF(
    E9 &lt;&gt; "",
    IF(
      INDIRECT( ADDRESS( ROW(), COLUMN()-5 ) ) &lt;&gt; "",
      INDIRECT( ADDRESS( ROW(), COLUMN()-5 ) ) &amp; " | ",
      ""
    )
    &amp;GetCategoryTree()
    &amp;INDIRECT( ADDRESS( 4, 7 ) ),
    ""
)</f>
        <v>サンプルカテゴリー1 | サンプルサイト</v>
      </c>
      <c r="H9" s="11">
        <f ca="1">IF( G9&lt;&gt;"", LEN(G9), "" )</f>
        <v>20</v>
      </c>
      <c r="I9" s="11" t="s">
        <v>32</v>
      </c>
      <c r="J9" s="11">
        <f>IF( I9&lt;&gt;"", LEN(I9), "" )</f>
        <v>14</v>
      </c>
      <c r="K9" s="11" t="s">
        <v>38</v>
      </c>
      <c r="L9" s="11">
        <f t="shared" si="2"/>
        <v>2</v>
      </c>
      <c r="M9" s="11" t="str">
        <f ca="1">IF(
    E9 &lt;&gt; "",
    INDIRECT( ADDRESS( 4, COLUMN() ) ) &amp; SUBSTITUTE( E9, "index.html", "" ),
    ""
)</f>
        <v>http://example.com/sample_dir_1/</v>
      </c>
      <c r="N9" s="11" t="s">
        <v>42</v>
      </c>
      <c r="O9" s="26" t="s">
        <v>49</v>
      </c>
      <c r="P9" s="12"/>
    </row>
    <row r="10" spans="1:16" x14ac:dyDescent="0.15">
      <c r="A10" s="10"/>
      <c r="B10" s="11" t="s">
        <v>6</v>
      </c>
      <c r="C10" s="11"/>
      <c r="D10" s="11" t="s">
        <v>21</v>
      </c>
      <c r="E10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/sample_dir_1/sample.html</v>
      </c>
      <c r="F10" s="11" t="str">
        <f t="shared" si="1"/>
        <v>サンプルページ</v>
      </c>
      <c r="G10" s="11" t="str">
        <f ca="1">IF(
    E10 &lt;&gt; "",
    IF(
      INDIRECT( ADDRESS( ROW(), COLUMN()-5 ) ) &lt;&gt; "",
      INDIRECT( ADDRESS( ROW(), COLUMN()-5 ) ) &amp; " | ",
      ""
    )
    &amp;GetCategoryTree()
    &amp;INDIRECT( ADDRESS( 4, 7 ) ),
    ""
)</f>
        <v>サンプルページ | サンプルカテゴリー1 | サンプルサイト</v>
      </c>
      <c r="H10" s="11">
        <f t="shared" ref="H10:J18" ca="1" si="3">IF( G10&lt;&gt;"", LEN(G10), "" )</f>
        <v>30</v>
      </c>
      <c r="I10" s="11" t="s">
        <v>33</v>
      </c>
      <c r="J10" s="11">
        <f t="shared" si="3"/>
        <v>22</v>
      </c>
      <c r="K10" s="11" t="s">
        <v>39</v>
      </c>
      <c r="L10" s="11">
        <f t="shared" si="2"/>
        <v>3</v>
      </c>
      <c r="M10" s="11" t="str">
        <f t="shared" ref="M10:M19" ca="1" si="4">IF(
    E10 &lt;&gt; "",
    INDIRECT( ADDRESS( 4, COLUMN() ) ) &amp; SUBSTITUTE( E10, "index.html", "" ),
    ""
)</f>
        <v>http://example.com/sample_dir_1/sample.html</v>
      </c>
      <c r="N10" s="11" t="s">
        <v>42</v>
      </c>
      <c r="O10" s="26" t="s">
        <v>48</v>
      </c>
      <c r="P10" s="12"/>
    </row>
    <row r="11" spans="1:16" x14ac:dyDescent="0.15">
      <c r="A11" s="2" t="s">
        <v>15</v>
      </c>
      <c r="B11" s="11"/>
      <c r="C11" s="22" t="s">
        <v>28</v>
      </c>
      <c r="D11" s="11" t="s">
        <v>22</v>
      </c>
      <c r="E11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/sample_dir_1/sample_subdir/index.html</v>
      </c>
      <c r="F11" s="11" t="str">
        <f t="shared" si="1"/>
        <v>サンプルサブカテゴリー</v>
      </c>
      <c r="G11" s="11" t="str">
        <f ca="1">IF(
    E11 &lt;&gt; "",
    IF(
      INDIRECT( ADDRESS( ROW(), COLUMN()-5 ) ) &lt;&gt; "",
      INDIRECT( ADDRESS( ROW(), COLUMN()-5 ) ) &amp; " | ",
      ""
    )
    &amp;GetCategoryTree()
    &amp;INDIRECT( ADDRESS( 4, 7 ) ),
    ""
)</f>
        <v>サンプルサブカテゴリー | サンプルカテゴリー1 | サンプルサイト</v>
      </c>
      <c r="H11" s="11">
        <f t="shared" ref="H11" ca="1" si="5">IF( G11&lt;&gt;"", LEN(G11), "" )</f>
        <v>34</v>
      </c>
      <c r="I11" s="11" t="s">
        <v>34</v>
      </c>
      <c r="J11" s="11">
        <f t="shared" si="3"/>
        <v>22</v>
      </c>
      <c r="K11" s="11" t="s">
        <v>40</v>
      </c>
      <c r="L11" s="11">
        <f t="shared" si="2"/>
        <v>3</v>
      </c>
      <c r="M11" s="11" t="str">
        <f t="shared" ca="1" si="4"/>
        <v>http://example.com/sample_dir_1/sample_subdir/</v>
      </c>
      <c r="N11" s="11" t="s">
        <v>42</v>
      </c>
      <c r="O11" s="26" t="s">
        <v>48</v>
      </c>
      <c r="P11" s="12"/>
    </row>
    <row r="12" spans="1:16" x14ac:dyDescent="0.15">
      <c r="A12" s="10"/>
      <c r="B12" s="11" t="s">
        <v>12</v>
      </c>
      <c r="C12" s="11"/>
      <c r="D12" s="11" t="s">
        <v>23</v>
      </c>
      <c r="E12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/sample_dir_1/sample_subdir/sample_1.html</v>
      </c>
      <c r="F12" s="11" t="str">
        <f t="shared" si="1"/>
        <v>サンプルページ1</v>
      </c>
      <c r="G12" s="11" t="str">
        <f ca="1">IF(
    E12 &lt;&gt; "",
    IF(
      INDIRECT( ADDRESS( ROW(), COLUMN()-5 ) ) &lt;&gt; "",
      INDIRECT( ADDRESS( ROW(), COLUMN()-5 ) ) &amp; " | ",
      ""
    )
    &amp;GetCategoryTree()
    &amp;INDIRECT( ADDRESS( 4, 7 ) ),
    ""
)</f>
        <v>サンプルページ1 | サンプルサブカテゴリー | サンプルカテゴリー1 | サンプルサイト</v>
      </c>
      <c r="H12" s="11">
        <f t="shared" ref="H12" ca="1" si="6">IF( G12&lt;&gt;"", LEN(G12), "" )</f>
        <v>45</v>
      </c>
      <c r="I12" s="11" t="s">
        <v>35</v>
      </c>
      <c r="J12" s="11">
        <f t="shared" si="3"/>
        <v>31</v>
      </c>
      <c r="K12" s="11" t="s">
        <v>41</v>
      </c>
      <c r="L12" s="11">
        <f t="shared" si="2"/>
        <v>4</v>
      </c>
      <c r="M12" s="11" t="str">
        <f t="shared" ca="1" si="4"/>
        <v>http://example.com/sample_dir_1/sample_subdir/sample_1.html</v>
      </c>
      <c r="N12" s="11" t="s">
        <v>42</v>
      </c>
      <c r="O12" s="26" t="s">
        <v>48</v>
      </c>
      <c r="P12" s="12"/>
    </row>
    <row r="13" spans="1:16" x14ac:dyDescent="0.15">
      <c r="A13" s="10"/>
      <c r="B13" s="11" t="s">
        <v>13</v>
      </c>
      <c r="C13" s="11"/>
      <c r="D13" s="11" t="s">
        <v>24</v>
      </c>
      <c r="E13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/sample_dir_1/sample_subdir/sample_2.html</v>
      </c>
      <c r="F13" s="11" t="str">
        <f t="shared" si="1"/>
        <v>サンプルページ2</v>
      </c>
      <c r="G13" s="11" t="str">
        <f ca="1">IF(
    E13 &lt;&gt; "",
    IF(
      INDIRECT( ADDRESS( ROW(), COLUMN()-5 ) ) &lt;&gt; "",
      INDIRECT( ADDRESS( ROW(), COLUMN()-5 ) ) &amp; " | ",
      ""
    )
    &amp;GetCategoryTree()
    &amp;INDIRECT( ADDRESS( 4, 7 ) ),
    ""
)</f>
        <v>サンプルページ2 | サンプルサブカテゴリー | サンプルカテゴリー1 | サンプルサイト</v>
      </c>
      <c r="H13" s="11">
        <f t="shared" ref="H13" ca="1" si="7">IF( G13&lt;&gt;"", LEN(G13), "" )</f>
        <v>45</v>
      </c>
      <c r="I13" s="11" t="s">
        <v>36</v>
      </c>
      <c r="J13" s="11">
        <f t="shared" si="3"/>
        <v>31</v>
      </c>
      <c r="K13" s="11" t="s">
        <v>44</v>
      </c>
      <c r="L13" s="11">
        <f t="shared" si="2"/>
        <v>11</v>
      </c>
      <c r="M13" s="11" t="str">
        <f t="shared" ca="1" si="4"/>
        <v>http://example.com/sample_dir_1/sample_subdir/sample_2.html</v>
      </c>
      <c r="N13" s="11" t="s">
        <v>42</v>
      </c>
      <c r="O13" s="26" t="s">
        <v>48</v>
      </c>
      <c r="P13" s="12"/>
    </row>
    <row r="14" spans="1:16" x14ac:dyDescent="0.15">
      <c r="A14" s="10"/>
      <c r="B14" s="11"/>
      <c r="C14" s="11"/>
      <c r="D14" s="11"/>
      <c r="E14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4" s="11" t="str">
        <f t="shared" si="1"/>
        <v/>
      </c>
      <c r="G14" s="11" t="str">
        <f ca="1">IF(
    E14 &lt;&gt; "",
    IF(
      INDIRECT( ADDRESS( ROW(), COLUMN()-5 ) ) &lt;&gt; "",
      INDIRECT( ADDRESS( ROW(), COLUMN()-5 ) ) &amp; " | ",
      ""
    )
    &amp;GetCategoryTree()
    &amp;INDIRECT( ADDRESS( 4, 7 ) ),
    ""
)</f>
        <v/>
      </c>
      <c r="H14" s="11" t="str">
        <f t="shared" ref="H14" ca="1" si="8">IF( G14&lt;&gt;"", LEN(G14), "" )</f>
        <v/>
      </c>
      <c r="I14" s="11"/>
      <c r="J14" s="11" t="str">
        <f t="shared" si="3"/>
        <v/>
      </c>
      <c r="K14" s="11"/>
      <c r="L14" s="11" t="str">
        <f t="shared" si="2"/>
        <v/>
      </c>
      <c r="M14" s="11" t="str">
        <f t="shared" ca="1" si="4"/>
        <v/>
      </c>
      <c r="N14" s="11"/>
      <c r="O14" s="26"/>
      <c r="P14" s="12"/>
    </row>
    <row r="15" spans="1:16" x14ac:dyDescent="0.15">
      <c r="A15" s="10"/>
      <c r="B15" s="11"/>
      <c r="C15" s="11"/>
      <c r="D15" s="11"/>
      <c r="E15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5" s="11" t="str">
        <f t="shared" si="1"/>
        <v/>
      </c>
      <c r="G15" s="11" t="str">
        <f ca="1">IF(
    E15 &lt;&gt; "",
    IF(
      INDIRECT( ADDRESS( ROW(), COLUMN()-5 ) ) &lt;&gt; "",
      INDIRECT( ADDRESS( ROW(), COLUMN()-5 ) ) &amp; " | ",
      ""
    )
    &amp;GetCategoryTree()
    &amp;INDIRECT( ADDRESS( 4, 7 ) ),
    ""
)</f>
        <v/>
      </c>
      <c r="H15" s="11" t="str">
        <f t="shared" ref="H15" ca="1" si="9">IF( G15&lt;&gt;"", LEN(G15), "" )</f>
        <v/>
      </c>
      <c r="I15" s="11"/>
      <c r="J15" s="11" t="str">
        <f t="shared" si="3"/>
        <v/>
      </c>
      <c r="K15" s="11"/>
      <c r="L15" s="11" t="str">
        <f t="shared" si="2"/>
        <v/>
      </c>
      <c r="M15" s="11" t="str">
        <f t="shared" ca="1" si="4"/>
        <v/>
      </c>
      <c r="N15" s="11"/>
      <c r="O15" s="26"/>
      <c r="P15" s="12"/>
    </row>
    <row r="16" spans="1:16" x14ac:dyDescent="0.15">
      <c r="A16" s="10"/>
      <c r="B16" s="11"/>
      <c r="C16" s="11"/>
      <c r="D16" s="11"/>
      <c r="E16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6" s="11" t="str">
        <f t="shared" si="1"/>
        <v/>
      </c>
      <c r="G16" s="11" t="str">
        <f ca="1">IF(
    E16 &lt;&gt; "",
    IF(
      INDIRECT( ADDRESS( ROW(), COLUMN()-5 ) ) &lt;&gt; "",
      INDIRECT( ADDRESS( ROW(), COLUMN()-5 ) ) &amp; " | ",
      ""
    )
    &amp;GetCategoryTree()
    &amp;INDIRECT( ADDRESS( 4, 7 ) ),
    ""
)</f>
        <v/>
      </c>
      <c r="H16" s="11" t="str">
        <f t="shared" ref="H16" ca="1" si="10">IF( G16&lt;&gt;"", LEN(G16), "" )</f>
        <v/>
      </c>
      <c r="I16" s="11"/>
      <c r="J16" s="11" t="str">
        <f t="shared" si="3"/>
        <v/>
      </c>
      <c r="K16" s="11"/>
      <c r="L16" s="11" t="str">
        <f t="shared" si="2"/>
        <v/>
      </c>
      <c r="M16" s="11" t="str">
        <f t="shared" ca="1" si="4"/>
        <v/>
      </c>
      <c r="N16" s="11"/>
      <c r="O16" s="26"/>
      <c r="P16" s="12"/>
    </row>
    <row r="17" spans="1:16" x14ac:dyDescent="0.15">
      <c r="A17" s="10"/>
      <c r="B17" s="11"/>
      <c r="C17" s="11"/>
      <c r="D17" s="11"/>
      <c r="E17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7" s="11" t="str">
        <f t="shared" si="1"/>
        <v/>
      </c>
      <c r="G17" s="11" t="str">
        <f ca="1">IF(
    E17 &lt;&gt; "",
    IF(
      INDIRECT( ADDRESS( ROW(), COLUMN()-5 ) ) &lt;&gt; "",
      INDIRECT( ADDRESS( ROW(), COLUMN()-5 ) ) &amp; " | ",
      ""
    )
    &amp;GetCategoryTree()
    &amp;INDIRECT( ADDRESS( 4, 7 ) ),
    ""
)</f>
        <v/>
      </c>
      <c r="H17" s="11" t="str">
        <f t="shared" ref="H17" ca="1" si="11">IF( G17&lt;&gt;"", LEN(G17), "" )</f>
        <v/>
      </c>
      <c r="I17" s="11"/>
      <c r="J17" s="11" t="str">
        <f t="shared" si="3"/>
        <v/>
      </c>
      <c r="K17" s="11"/>
      <c r="L17" s="11" t="str">
        <f t="shared" si="2"/>
        <v/>
      </c>
      <c r="M17" s="11" t="str">
        <f t="shared" ca="1" si="4"/>
        <v/>
      </c>
      <c r="N17" s="11"/>
      <c r="O17" s="26"/>
      <c r="P17" s="12"/>
    </row>
    <row r="18" spans="1:16" x14ac:dyDescent="0.15">
      <c r="A18" s="10"/>
      <c r="B18" s="11"/>
      <c r="C18" s="11"/>
      <c r="D18" s="11"/>
      <c r="E18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8" s="11" t="str">
        <f t="shared" si="1"/>
        <v/>
      </c>
      <c r="G18" s="11" t="str">
        <f ca="1">IF(
    E18 &lt;&gt; "",
    IF(
      INDIRECT( ADDRESS( ROW(), COLUMN()-5 ) ) &lt;&gt; "",
      INDIRECT( ADDRESS( ROW(), COLUMN()-5 ) ) &amp; " | ",
      ""
    )
    &amp;GetCategoryTree()
    &amp;INDIRECT( ADDRESS( 4, 7 ) ),
    ""
)</f>
        <v/>
      </c>
      <c r="H18" s="11" t="str">
        <f t="shared" ref="H18" ca="1" si="12">IF( G18&lt;&gt;"", LEN(G18), "" )</f>
        <v/>
      </c>
      <c r="I18" s="11"/>
      <c r="J18" s="11" t="str">
        <f t="shared" si="3"/>
        <v/>
      </c>
      <c r="K18" s="11"/>
      <c r="L18" s="11" t="str">
        <f t="shared" si="2"/>
        <v/>
      </c>
      <c r="M18" s="11" t="str">
        <f t="shared" ca="1" si="4"/>
        <v/>
      </c>
      <c r="N18" s="11"/>
      <c r="O18" s="26"/>
      <c r="P18" s="12"/>
    </row>
    <row r="19" spans="1:16" ht="14.25" thickBot="1" x14ac:dyDescent="0.2">
      <c r="A19" s="13"/>
      <c r="B19" s="14"/>
      <c r="C19" s="14"/>
      <c r="D19" s="14"/>
      <c r="E19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9" s="14" t="str">
        <f t="shared" si="1"/>
        <v/>
      </c>
      <c r="G19" s="14" t="str">
        <f ca="1">IF(
    E19 &lt;&gt; "",
    IF(
      INDIRECT( ADDRESS( ROW(), COLUMN()-5 ) ) &lt;&gt; "",
      INDIRECT( ADDRESS( ROW(), COLUMN()-5 ) ) &amp; " | ",
      ""
    )
    &amp;GetCategoryTree()
    &amp;INDIRECT( ADDRESS( 4, 7 ) ),
    ""
)</f>
        <v/>
      </c>
      <c r="H19" s="14"/>
      <c r="I19" s="14"/>
      <c r="J19" s="14"/>
      <c r="K19" s="14"/>
      <c r="L19" s="14"/>
      <c r="M19" s="14" t="str">
        <f t="shared" ca="1" si="4"/>
        <v/>
      </c>
      <c r="N19" s="14"/>
      <c r="O19" s="27"/>
      <c r="P19" s="15"/>
    </row>
  </sheetData>
  <mergeCells count="1">
    <mergeCell ref="A1:C1"/>
  </mergeCells>
  <phoneticPr fontId="1"/>
  <conditionalFormatting sqref="H7:H19">
    <cfRule type="cellIs" dxfId="3" priority="4" operator="greaterThan">
      <formula>40</formula>
    </cfRule>
  </conditionalFormatting>
  <conditionalFormatting sqref="J7:J19">
    <cfRule type="cellIs" dxfId="2" priority="3" operator="greaterThan">
      <formula>140</formula>
    </cfRule>
  </conditionalFormatting>
  <conditionalFormatting sqref="H7:H18 J7:J18 L7:L18">
    <cfRule type="containsBlanks" dxfId="1" priority="1">
      <formula>LEN(TRIM(H7))=0</formula>
    </cfRule>
  </conditionalFormatting>
  <conditionalFormatting sqref="L7:L18">
    <cfRule type="cellIs" dxfId="0" priority="2" operator="greaterThan">
      <formula>10</formula>
    </cfRule>
  </conditionalFormatting>
  <pageMargins left="0.7" right="0.7" top="0.75" bottom="0.75" header="0.3" footer="0.3"/>
  <pageSetup paperSize="8" scale="30"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2014-08-05T08:04:08Z</dcterms:modified>
</cp:coreProperties>
</file>